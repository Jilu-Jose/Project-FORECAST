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p Table" sheetId="5" state="visible" r:id="rId5"/>
    <sheet xmlns:r="http://schemas.openxmlformats.org/officeDocument/2006/relationships" name="Revenue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Assumptions</t>
        </is>
      </c>
    </row>
    <row r="2">
      <c r="A2" t="inlineStr">
        <is>
          <t>Growth Rate (MoM)</t>
        </is>
      </c>
      <c r="B2" t="n">
        <v>0.15</v>
      </c>
    </row>
    <row r="3">
      <c r="A3" t="inlineStr">
        <is>
          <t>Churn Rate (Monthly)</t>
        </is>
      </c>
      <c r="B3" t="n">
        <v>0.02</v>
      </c>
    </row>
    <row r="4">
      <c r="A4" t="inlineStr">
        <is>
          <t>CAC (Customer Acquisition Cost)</t>
        </is>
      </c>
      <c r="B4" t="n">
        <v>5000</v>
      </c>
    </row>
    <row r="5">
      <c r="A5" t="inlineStr">
        <is>
          <t>LTV (Customer Lifetime Value)</t>
        </is>
      </c>
      <c r="B5" t="n">
        <v>45000</v>
      </c>
    </row>
    <row r="6">
      <c r="A6" t="inlineStr">
        <is>
          <t>Gross Margin %</t>
        </is>
      </c>
      <c r="B6" t="n">
        <v>0.72</v>
      </c>
    </row>
    <row r="7">
      <c r="A7" t="inlineStr">
        <is>
          <t>Monthly Burn Rate (INR)</t>
        </is>
      </c>
      <c r="B7" t="n">
        <v>1500000</v>
      </c>
    </row>
    <row r="8">
      <c r="A8" t="inlineStr">
        <is>
          <t>Starting Cash (INR)</t>
        </is>
      </c>
      <c r="B8" t="n">
        <v>15000000</v>
      </c>
    </row>
    <row r="9">
      <c r="A9" t="inlineStr">
        <is>
          <t>Tax Rate</t>
        </is>
      </c>
      <c r="B9" t="n">
        <v>0.25</v>
      </c>
    </row>
    <row r="10">
      <c r="A10" t="inlineStr">
        <is>
          <t>Conversion Rate</t>
        </is>
      </c>
      <c r="B10" t="n">
        <v>0.035</v>
      </c>
    </row>
    <row r="11">
      <c r="A11" t="inlineStr">
        <is>
          <t>Average Revenue Per User (USD)</t>
        </is>
      </c>
      <c r="B11" t="n">
        <v>29.99</v>
      </c>
    </row>
    <row r="12">
      <c r="A12" t="inlineStr">
        <is>
          <t>Price (INR/month)</t>
        </is>
      </c>
      <c r="B12" t="n">
        <v>999</v>
      </c>
    </row>
    <row r="13">
      <c r="A13" t="inlineStr">
        <is>
          <t>Discount Rate</t>
        </is>
      </c>
      <c r="B13" t="n">
        <v>0.12</v>
      </c>
    </row>
    <row r="14">
      <c r="A14" t="inlineStr">
        <is>
          <t>Retention Rate</t>
        </is>
      </c>
      <c r="B14" t="n">
        <v>0.98</v>
      </c>
    </row>
    <row r="15">
      <c r="A15" t="inlineStr">
        <is>
          <t>Headcount Growth Rate (Annual)</t>
        </is>
      </c>
      <c r="B1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&amp; Loss Statement</t>
        </is>
      </c>
    </row>
    <row r="2">
      <c r="A2" t="inlineStr"/>
      <c r="B2" t="inlineStr">
        <is>
          <t>Month 1</t>
        </is>
      </c>
      <c r="C2" t="inlineStr">
        <is>
          <t>Month 2</t>
        </is>
      </c>
      <c r="D2" t="inlineStr">
        <is>
          <t>Month 3</t>
        </is>
      </c>
      <c r="E2" t="inlineStr">
        <is>
          <t>Month 4</t>
        </is>
      </c>
      <c r="F2" t="inlineStr">
        <is>
          <t>Month 5</t>
        </is>
      </c>
      <c r="G2" t="inlineStr">
        <is>
          <t>Month 6</t>
        </is>
      </c>
    </row>
    <row r="3">
      <c r="A3" t="inlineStr">
        <is>
          <t>Revenue</t>
        </is>
      </c>
      <c r="B3" t="n">
        <v>500000</v>
      </c>
      <c r="C3">
        <f>B3*(1+Assumptions!B2)</f>
        <v/>
      </c>
      <c r="D3">
        <f>C3*(1+Assumptions!B2)</f>
        <v/>
      </c>
      <c r="E3">
        <f>D3*(1+Assumptions!B2)</f>
        <v/>
      </c>
      <c r="F3" t="n">
        <v>800000</v>
      </c>
      <c r="G3">
        <f>F3*(1+Assumptions!B2)</f>
        <v/>
      </c>
    </row>
    <row r="4">
      <c r="A4" t="inlineStr">
        <is>
          <t>COGS</t>
        </is>
      </c>
      <c r="B4">
        <f>B3*(1-Assumptions!B6)</f>
        <v/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t="inlineStr">
        <is>
          <t>Operating Expenses</t>
        </is>
      </c>
      <c r="B6" t="n">
        <v>400000</v>
      </c>
      <c r="C6">
        <f>B6*1.05</f>
        <v/>
      </c>
      <c r="D6">
        <f>C6*1.05</f>
        <v/>
      </c>
      <c r="E6">
        <f>D6*1.05</f>
        <v/>
      </c>
      <c r="F6">
        <f>E6*1.05</f>
        <v/>
      </c>
      <c r="G6">
        <f>F6*1.05</f>
        <v/>
      </c>
    </row>
    <row r="7">
      <c r="A7" t="inlineStr">
        <is>
          <t>Net Income</t>
        </is>
      </c>
      <c r="B7">
        <f>B5-B6</f>
        <v/>
      </c>
      <c r="C7">
        <f>C5-C6</f>
        <v/>
      </c>
      <c r="D7">
        <f>D5-D6</f>
        <v/>
      </c>
      <c r="E7">
        <f>E5-E6</f>
        <v/>
      </c>
      <c r="F7">
        <f>F5-F6</f>
        <v/>
      </c>
      <c r="G7">
        <f>G5-G6</f>
        <v/>
      </c>
    </row>
    <row r="9">
      <c r="A9" t="inlineStr">
        <is>
          <t>Total Revenue</t>
        </is>
      </c>
      <c r="B9">
        <f>SUM(B3:G3)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Statement</t>
        </is>
      </c>
      <c r="B1" t="inlineStr">
        <is>
          <t>Month 1</t>
        </is>
      </c>
      <c r="C1" t="inlineStr">
        <is>
          <t>Month 2</t>
        </is>
      </c>
      <c r="D1" t="inlineStr">
        <is>
          <t>Month 3</t>
        </is>
      </c>
    </row>
    <row r="2">
      <c r="A2" t="inlineStr">
        <is>
          <t>Operating Cash Flow</t>
        </is>
      </c>
      <c r="B2">
        <f>'P&amp;L'!B7</f>
        <v/>
      </c>
      <c r="C2">
        <f>'P&amp;L'!C7</f>
        <v/>
      </c>
      <c r="D2">
        <f>'P&amp;L'!D7</f>
        <v/>
      </c>
    </row>
    <row r="3">
      <c r="A3" t="inlineStr">
        <is>
          <t>CapEx</t>
        </is>
      </c>
      <c r="B3" t="n">
        <v>-50000</v>
      </c>
      <c r="C3" t="n">
        <v>-50000</v>
      </c>
      <c r="D3" t="n">
        <v>-50000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</row>
    <row r="5">
      <c r="A5" t="inlineStr">
        <is>
          <t>Ending Cash Balance</t>
        </is>
      </c>
      <c r="B5">
        <f>Assumptions!B8+B4</f>
        <v/>
      </c>
      <c r="C5">
        <f>B5+C4</f>
        <v/>
      </c>
      <c r="D5">
        <f>C5+D4</f>
        <v/>
      </c>
    </row>
    <row r="7">
      <c r="A7" t="inlineStr">
        <is>
          <t>Total Revenue</t>
        </is>
      </c>
      <c r="B7" t="n">
        <v>3200000</v>
      </c>
    </row>
    <row r="9">
      <c r="A9" t="inlineStr">
        <is>
          <t>Runway (months)</t>
        </is>
      </c>
      <c r="B9">
        <f>Assumptions!B8/Assumptions!B7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</t>
        </is>
      </c>
    </row>
    <row r="3">
      <c r="A3" t="inlineStr">
        <is>
          <t>Total Assets</t>
        </is>
      </c>
      <c r="B3" t="n">
        <v>20000000</v>
      </c>
    </row>
    <row r="5">
      <c r="A5" t="inlineStr">
        <is>
          <t>Total Liabilities</t>
        </is>
      </c>
      <c r="B5" t="n">
        <v>8000000</v>
      </c>
    </row>
    <row r="7">
      <c r="A7" t="inlineStr">
        <is>
          <t>Total Equity</t>
        </is>
      </c>
      <c r="B7" t="n">
        <v>11000000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Table</t>
        </is>
      </c>
    </row>
    <row r="3">
      <c r="A3" t="inlineStr">
        <is>
          <t>Shareholder</t>
        </is>
      </c>
      <c r="B3" t="inlineStr">
        <is>
          <t>Shares</t>
        </is>
      </c>
      <c r="C3" t="inlineStr">
        <is>
          <t>Ownership %</t>
        </is>
      </c>
    </row>
    <row r="4">
      <c r="A4" t="inlineStr">
        <is>
          <t>Founder 1</t>
        </is>
      </c>
      <c r="B4" t="n">
        <v>400000</v>
      </c>
      <c r="C4" t="n">
        <v>40</v>
      </c>
    </row>
    <row r="5">
      <c r="A5" t="inlineStr">
        <is>
          <t>Founder 2</t>
        </is>
      </c>
      <c r="B5" t="n">
        <v>300000</v>
      </c>
      <c r="C5" t="n">
        <v>30</v>
      </c>
    </row>
    <row r="6">
      <c r="A6" t="inlineStr">
        <is>
          <t>Investor (Seed)</t>
        </is>
      </c>
      <c r="B6" t="n">
        <v>150000</v>
      </c>
      <c r="C6" t="n">
        <v>15</v>
      </c>
    </row>
    <row r="7">
      <c r="A7" t="inlineStr">
        <is>
          <t>ESOP/Option Pool</t>
        </is>
      </c>
      <c r="B7" t="n">
        <v>100000</v>
      </c>
      <c r="C7" t="n">
        <v>8</v>
      </c>
    </row>
    <row r="8">
      <c r="A8" t="inlineStr">
        <is>
          <t>Angel Investors</t>
        </is>
      </c>
      <c r="B8" t="n">
        <v>50000</v>
      </c>
      <c r="C8" t="n">
        <v>5</v>
      </c>
    </row>
    <row r="10">
      <c r="A10" t="inlineStr">
        <is>
          <t>Total</t>
        </is>
      </c>
      <c r="B10">
        <f>SUM(B4:B8)</f>
        <v/>
      </c>
      <c r="C10">
        <f>SUM(C4:C8)</f>
        <v/>
      </c>
    </row>
    <row r="12">
      <c r="A12" t="inlineStr">
        <is>
          <t>Pre-Money Valuation (INR Cr)</t>
        </is>
      </c>
      <c r="B12" t="n">
        <v>10</v>
      </c>
    </row>
    <row r="13">
      <c r="A13" t="inlineStr">
        <is>
          <t>Investment Amount (INR Cr)</t>
        </is>
      </c>
      <c r="B13" t="n">
        <v>2</v>
      </c>
    </row>
    <row r="14">
      <c r="A14" t="inlineStr">
        <is>
          <t>Post-Money Valuation (INR Cr)</t>
        </is>
      </c>
      <c r="B14">
        <f>B12+B13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Forecast</t>
        </is>
      </c>
    </row>
    <row r="2">
      <c r="A2" t="inlineStr">
        <is>
          <t>Users</t>
        </is>
      </c>
      <c r="B2" t="n">
        <v>1000</v>
      </c>
      <c r="C2">
        <f>B2*(1+Assumptions!B2)</f>
        <v/>
      </c>
      <c r="D2">
        <f>C2*(1+Assumptions!B2)</f>
        <v/>
      </c>
    </row>
    <row r="3">
      <c r="A3" t="inlineStr">
        <is>
          <t>Revenue per User</t>
        </is>
      </c>
      <c r="B3">
        <f>Assumptions!B12</f>
        <v/>
      </c>
      <c r="C3">
        <f>Assumptions!B12</f>
        <v/>
      </c>
      <c r="D3">
        <f>Assumptions!B12</f>
        <v/>
      </c>
    </row>
    <row r="4">
      <c r="A4" t="inlineStr">
        <is>
          <t>Total Revenue</t>
        </is>
      </c>
      <c r="B4">
        <f>B2*B3</f>
        <v/>
      </c>
      <c r="C4">
        <f>C2*C3</f>
        <v/>
      </c>
      <c r="D4">
        <f>D2*D3</f>
        <v/>
      </c>
    </row>
    <row r="5">
      <c r="A5" t="inlineStr">
        <is>
          <t>MRR</t>
        </is>
      </c>
      <c r="B5">
        <f>B4</f>
        <v/>
      </c>
      <c r="C5">
        <f>C4</f>
        <v/>
      </c>
      <c r="D5">
        <f>D4</f>
        <v/>
      </c>
    </row>
    <row r="6">
      <c r="A6" t="inlineStr">
        <is>
          <t>ARR</t>
        </is>
      </c>
      <c r="B6">
        <f>B5*12</f>
        <v/>
      </c>
      <c r="C6">
        <f>C5*12</f>
        <v/>
      </c>
      <c r="D6">
        <f>D5*12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2026-08-06T02:34:43Z</dcterms:created>
  <dcterms:modified xmlns:dcterms="http://purl.org/dc/terms/" xmlns:xsi="http://www.w3.org/2001/XMLSchema-instance" xsi:type="dcterms:W3CDTF">2026-08-06T02:34:43Z</dcterms:modified>
</cp:coreProperties>
</file>